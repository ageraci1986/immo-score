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jonathannmingoia/SOPRISM Dropbox/JONATHANN MINGOIA/TLM Estate/New project/"/>
    </mc:Choice>
  </mc:AlternateContent>
  <xr:revisionPtr revIDLastSave="0" documentId="13_ncr:1_{2A72B0B7-03C4-3944-9B50-D8AF7208CB93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Feuil1 (2)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E53" i="2"/>
  <c r="E54" i="2" s="1"/>
  <c r="D51" i="2"/>
  <c r="G51" i="2" s="1"/>
  <c r="G53" i="2" s="1"/>
  <c r="C45" i="2"/>
  <c r="C49" i="2" s="1"/>
  <c r="D15" i="2"/>
  <c r="C9" i="2"/>
  <c r="C13" i="2" s="1"/>
  <c r="D51" i="1"/>
  <c r="C45" i="1"/>
  <c r="C49" i="1" s="1"/>
  <c r="D15" i="1"/>
  <c r="E17" i="1" s="1"/>
  <c r="E18" i="1" s="1"/>
  <c r="C9" i="1"/>
  <c r="C13" i="1" s="1"/>
  <c r="J26" i="2" l="1"/>
  <c r="J29" i="2" s="1"/>
  <c r="E23" i="2"/>
  <c r="D26" i="2" s="1"/>
  <c r="D29" i="2" s="1"/>
  <c r="D19" i="2"/>
  <c r="E59" i="2"/>
  <c r="D55" i="2"/>
  <c r="J62" i="2"/>
  <c r="J65" i="2" s="1"/>
  <c r="J66" i="2" s="1"/>
  <c r="J67" i="2" s="1"/>
  <c r="D62" i="2"/>
  <c r="D65" i="2" s="1"/>
  <c r="D66" i="2" s="1"/>
  <c r="D67" i="2" s="1"/>
  <c r="D56" i="2"/>
  <c r="J23" i="2"/>
  <c r="J24" i="2" s="1"/>
  <c r="G15" i="2"/>
  <c r="G17" i="2" s="1"/>
  <c r="D20" i="2" s="1"/>
  <c r="E17" i="2"/>
  <c r="E18" i="2" s="1"/>
  <c r="J59" i="2"/>
  <c r="J60" i="2" s="1"/>
  <c r="J62" i="1"/>
  <c r="J65" i="1" s="1"/>
  <c r="E59" i="1"/>
  <c r="D62" i="1" s="1"/>
  <c r="D65" i="1" s="1"/>
  <c r="D55" i="1"/>
  <c r="E53" i="1"/>
  <c r="E54" i="1" s="1"/>
  <c r="J59" i="1"/>
  <c r="J60" i="1" s="1"/>
  <c r="G51" i="1"/>
  <c r="G53" i="1" s="1"/>
  <c r="D56" i="1" s="1"/>
  <c r="D19" i="1"/>
  <c r="J26" i="1"/>
  <c r="J29" i="1" s="1"/>
  <c r="J30" i="1" s="1"/>
  <c r="J31" i="1" s="1"/>
  <c r="E23" i="1"/>
  <c r="D26" i="1" s="1"/>
  <c r="D29" i="1" s="1"/>
  <c r="J23" i="1"/>
  <c r="J24" i="1" s="1"/>
  <c r="G15" i="1"/>
  <c r="G17" i="1" s="1"/>
  <c r="D30" i="2" l="1"/>
  <c r="D31" i="2" s="1"/>
  <c r="J30" i="2"/>
  <c r="J31" i="2" s="1"/>
  <c r="D66" i="1"/>
  <c r="D67" i="1" s="1"/>
  <c r="J66" i="1"/>
  <c r="J67" i="1" s="1"/>
  <c r="D30" i="1"/>
  <c r="D31" i="1" s="1"/>
  <c r="D20" i="1"/>
</calcChain>
</file>

<file path=xl/sharedStrings.xml><?xml version="1.0" encoding="utf-8"?>
<sst xmlns="http://schemas.openxmlformats.org/spreadsheetml/2006/main" count="143" uniqueCount="32">
  <si>
    <t>Rendement loc  standard</t>
  </si>
  <si>
    <t>PA</t>
  </si>
  <si>
    <t xml:space="preserve">Acquisition </t>
  </si>
  <si>
    <t>Frais 15%</t>
  </si>
  <si>
    <t xml:space="preserve">Travaux </t>
  </si>
  <si>
    <t>Invest total</t>
  </si>
  <si>
    <t xml:space="preserve">basé sur 11/12 de mois d'occupation </t>
  </si>
  <si>
    <t>cadastre</t>
  </si>
  <si>
    <t>Assurance</t>
  </si>
  <si>
    <t>esti</t>
  </si>
  <si>
    <t>annuel</t>
  </si>
  <si>
    <t>Mensuel</t>
  </si>
  <si>
    <t>Rendement brut</t>
  </si>
  <si>
    <t>Rendement net</t>
  </si>
  <si>
    <t>basé sur 11/12 mois d'occupation</t>
  </si>
  <si>
    <t>Condition d'octroi crédit en plus du 30%/70%</t>
  </si>
  <si>
    <t>Banque</t>
  </si>
  <si>
    <t>effort propre</t>
  </si>
  <si>
    <t xml:space="preserve">10/12 des loyers apt </t>
  </si>
  <si>
    <t>mensuel</t>
  </si>
  <si>
    <t>BNP</t>
  </si>
  <si>
    <t xml:space="preserve">taux </t>
  </si>
  <si>
    <t>durée</t>
  </si>
  <si>
    <t>Cash flow annuel</t>
  </si>
  <si>
    <t>Cash flow mensuel</t>
  </si>
  <si>
    <t xml:space="preserve">NOM : </t>
  </si>
  <si>
    <t>Charleroi  4 chambres</t>
  </si>
  <si>
    <t>Valorisation Projet  TLM</t>
  </si>
  <si>
    <t>Cash flow mensuel net</t>
  </si>
  <si>
    <t>Cash flow annuel net</t>
  </si>
  <si>
    <t>Loyer estimé apt ( charges déduites)</t>
  </si>
  <si>
    <t>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</si>
</sst>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;\-#,##0\ &quot;€&quot;"/>
    <numFmt numFmtId="165" formatCode="#,##0.00\ &quot;€&quot;;[Red]\-#,##0.00\ &quot;€&quot;"/>
    <numFmt numFmtId="166" formatCode="#,##0\ &quot;€&quot;"/>
  </numFmts>
  <fonts count="7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7">
    <xf numFmtId="0" fontId="0" fillId="0" borderId="0" xfId="0"/>
    <xf numFmtId="49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  <xf numFmtId="164" fontId="0" fillId="0" borderId="0" xfId="0" applyNumberFormat="1"/>
    <xf numFmtId="0" fontId="1" fillId="3" borderId="0" xfId="0" applyFont="1" applyFill="1" applyAlignment="1">
      <alignment vertical="center"/>
    </xf>
    <xf numFmtId="10" fontId="0" fillId="0" borderId="0" xfId="0" applyNumberFormat="1"/>
    <xf numFmtId="49" fontId="1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5" xfId="0" applyFont="1" applyFill="1" applyBorder="1" applyAlignment="1">
      <alignment vertical="center"/>
    </xf>
    <xf numFmtId="9" fontId="0" fillId="0" borderId="0" xfId="0" applyNumberFormat="1"/>
    <xf numFmtId="0" fontId="1" fillId="5" borderId="5" xfId="0" applyFont="1" applyFill="1" applyBorder="1" applyAlignment="1">
      <alignment vertical="center"/>
    </xf>
    <xf numFmtId="0" fontId="0" fillId="5" borderId="4" xfId="0" applyFill="1" applyBorder="1"/>
    <xf numFmtId="9" fontId="0" fillId="5" borderId="0" xfId="0" applyNumberFormat="1" applyFill="1"/>
    <xf numFmtId="166" fontId="0" fillId="5" borderId="0" xfId="0" applyNumberFormat="1" applyFill="1"/>
    <xf numFmtId="0" fontId="0" fillId="5" borderId="0" xfId="0" applyFill="1"/>
    <xf numFmtId="10" fontId="0" fillId="5" borderId="0" xfId="0" applyNumberFormat="1" applyFill="1"/>
    <xf numFmtId="165" fontId="0" fillId="0" borderId="0" xfId="0" applyNumberFormat="1"/>
    <xf numFmtId="165" fontId="1" fillId="5" borderId="0" xfId="0" applyNumberFormat="1" applyFont="1" applyFill="1"/>
    <xf numFmtId="0" fontId="2" fillId="5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49" fontId="2" fillId="3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166" fontId="0" fillId="0" borderId="0" xfId="0" applyNumberFormat="1"/>
    <xf numFmtId="166" fontId="2" fillId="6" borderId="0" xfId="0" applyNumberFormat="1" applyFont="1" applyFill="1" applyAlignment="1">
      <alignment vertical="center"/>
    </xf>
    <xf numFmtId="0" fontId="0" fillId="6" borderId="0" xfId="0" applyFill="1"/>
    <xf numFmtId="164" fontId="3" fillId="0" borderId="0" xfId="0" applyNumberFormat="1" applyFont="1"/>
    <xf numFmtId="0" fontId="4" fillId="0" borderId="0" xfId="0" applyFont="1"/>
    <xf numFmtId="9" fontId="6" fillId="7" borderId="0" xfId="1" applyFon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B5005-75CA-C445-8135-5514D8D9D9D3}">
  <dimension ref="A2:K68"/>
  <sheetViews>
    <sheetView tabSelected="1" workbookViewId="0">
      <selection activeCell="E23" sqref="E23"/>
    </sheetView>
  </sheetViews>
  <sheetFormatPr baseColWidth="10" defaultRowHeight="15" x14ac:dyDescent="0.2"/>
  <cols>
    <col min="1" max="1" width="32.33203125" customWidth="1"/>
    <col min="2" max="2" width="34.1640625" customWidth="1"/>
    <col min="3" max="3" width="25.5" customWidth="1"/>
    <col min="4" max="4" width="19.83203125" customWidth="1"/>
    <col min="5" max="5" width="21" customWidth="1"/>
    <col min="6" max="6" width="25" customWidth="1"/>
    <col min="7" max="7" width="21" customWidth="1"/>
    <col min="8" max="8" width="18" customWidth="1"/>
    <col min="9" max="9" width="24.6640625" customWidth="1"/>
    <col min="10" max="10" width="22.83203125" customWidth="1"/>
  </cols>
  <sheetData>
    <row r="2" spans="1:11" x14ac:dyDescent="0.2">
      <c r="A2" t="s">
        <v>27</v>
      </c>
    </row>
    <row r="4" spans="1:11" x14ac:dyDescent="0.2">
      <c r="A4" t="s">
        <v>25</v>
      </c>
      <c r="B4" t="s">
        <v>26</v>
      </c>
    </row>
    <row r="7" spans="1:11" ht="16" x14ac:dyDescent="0.2">
      <c r="A7" s="1" t="s">
        <v>0</v>
      </c>
      <c r="B7" s="2"/>
      <c r="C7" s="3"/>
      <c r="F7" s="4"/>
      <c r="G7" s="4"/>
      <c r="H7" s="4"/>
      <c r="I7" s="4"/>
      <c r="J7" s="4"/>
      <c r="K7" s="4"/>
    </row>
    <row r="8" spans="1:11" ht="16" x14ac:dyDescent="0.2">
      <c r="A8" t="s">
        <v>2</v>
      </c>
      <c r="B8" s="2"/>
      <c r="C8" s="32">
        <v>160000</v>
      </c>
      <c r="D8" s="2" t="s">
        <v>1</v>
      </c>
      <c r="E8" s="2"/>
      <c r="F8" s="4"/>
      <c r="G8" s="4"/>
      <c r="H8" s="4"/>
      <c r="I8" s="4"/>
      <c r="J8" s="4"/>
      <c r="K8" s="4"/>
    </row>
    <row r="9" spans="1:11" ht="16" x14ac:dyDescent="0.2">
      <c r="A9" t="s">
        <v>3</v>
      </c>
      <c r="C9" s="31">
        <f>C8*15%</f>
        <v>24000</v>
      </c>
      <c r="F9" s="4"/>
      <c r="G9" s="4"/>
      <c r="H9" s="4"/>
      <c r="I9" s="4"/>
      <c r="J9" s="4"/>
      <c r="K9" s="4"/>
    </row>
    <row r="10" spans="1:11" ht="16" x14ac:dyDescent="0.2">
      <c r="F10" s="4"/>
      <c r="G10" s="4"/>
      <c r="H10" s="4"/>
      <c r="I10" s="4"/>
      <c r="J10" s="4"/>
      <c r="K10" s="4"/>
    </row>
    <row r="11" spans="1:11" ht="16" x14ac:dyDescent="0.2">
      <c r="A11" t="s">
        <v>4</v>
      </c>
      <c r="C11" s="32">
        <v>25000</v>
      </c>
      <c r="F11" s="4"/>
      <c r="G11" s="4"/>
      <c r="H11" s="4"/>
      <c r="I11" s="4"/>
      <c r="J11" s="4"/>
      <c r="K11" s="4"/>
    </row>
    <row r="12" spans="1:11" ht="16" x14ac:dyDescent="0.2">
      <c r="F12" s="4"/>
      <c r="G12" s="4"/>
      <c r="H12" s="4"/>
      <c r="I12" s="4"/>
      <c r="J12" s="4"/>
      <c r="K12" s="4"/>
    </row>
    <row r="13" spans="1:11" ht="16" x14ac:dyDescent="0.2">
      <c r="A13" t="s">
        <v>5</v>
      </c>
      <c r="C13" s="5">
        <f>C11+C9+C8</f>
        <v>209000</v>
      </c>
      <c r="F13" s="4"/>
      <c r="G13" s="6" t="s">
        <v>6</v>
      </c>
      <c r="H13" s="4"/>
      <c r="I13" s="4"/>
      <c r="J13" s="4"/>
      <c r="K13" s="4"/>
    </row>
    <row r="14" spans="1:11" ht="16" x14ac:dyDescent="0.2">
      <c r="F14" s="4"/>
      <c r="G14" s="4"/>
      <c r="H14" s="4"/>
      <c r="I14" s="4"/>
      <c r="J14" s="4"/>
      <c r="K14" s="4"/>
    </row>
    <row r="15" spans="1:11" ht="16" x14ac:dyDescent="0.2">
      <c r="A15" t="s">
        <v>30</v>
      </c>
      <c r="C15" s="32">
        <v>1900</v>
      </c>
      <c r="D15">
        <f>C15*12</f>
        <v>22800</v>
      </c>
      <c r="F15" s="4"/>
      <c r="G15" s="5">
        <f>D15*(11/12)</f>
        <v>20900</v>
      </c>
      <c r="H15" s="4"/>
      <c r="I15" s="4"/>
      <c r="J15" s="4"/>
      <c r="K15" s="4"/>
    </row>
    <row r="16" spans="1:11" ht="16" x14ac:dyDescent="0.2">
      <c r="A16" t="s">
        <v>7</v>
      </c>
      <c r="D16" s="33">
        <v>-500</v>
      </c>
      <c r="F16" s="4"/>
      <c r="G16" s="4"/>
      <c r="H16" s="4"/>
      <c r="I16" s="4"/>
      <c r="J16" s="4"/>
      <c r="K16" s="4"/>
    </row>
    <row r="17" spans="1:11" ht="16" x14ac:dyDescent="0.2">
      <c r="A17" t="s">
        <v>8</v>
      </c>
      <c r="C17" t="s">
        <v>9</v>
      </c>
      <c r="D17" s="33">
        <v>-1100</v>
      </c>
      <c r="E17" s="5">
        <f>SUM(D15:D17)</f>
        <v>21200</v>
      </c>
      <c r="F17" s="6" t="s">
        <v>10</v>
      </c>
      <c r="G17" s="5">
        <f>G15+D16+D17</f>
        <v>19300</v>
      </c>
      <c r="H17" s="4"/>
      <c r="I17" s="4"/>
      <c r="J17" s="4"/>
      <c r="K17" s="4"/>
    </row>
    <row r="18" spans="1:11" ht="16" x14ac:dyDescent="0.2">
      <c r="E18" s="5">
        <f>E17/12</f>
        <v>1766.6666666666667</v>
      </c>
      <c r="F18" s="6" t="s">
        <v>11</v>
      </c>
      <c r="G18" s="4"/>
      <c r="H18" s="4"/>
      <c r="I18" s="4"/>
      <c r="J18" s="4"/>
      <c r="K18" s="4"/>
    </row>
    <row r="19" spans="1:11" ht="16" x14ac:dyDescent="0.2">
      <c r="A19" t="s">
        <v>12</v>
      </c>
      <c r="D19" s="7">
        <f>D15/C13</f>
        <v>0.10909090909090909</v>
      </c>
      <c r="F19" s="4"/>
      <c r="G19" s="4"/>
      <c r="H19" s="8" t="s">
        <v>16</v>
      </c>
      <c r="I19" s="9"/>
      <c r="J19" s="9"/>
      <c r="K19" s="4"/>
    </row>
    <row r="20" spans="1:11" ht="17" thickBot="1" x14ac:dyDescent="0.25">
      <c r="A20" t="s">
        <v>13</v>
      </c>
      <c r="B20" t="s">
        <v>14</v>
      </c>
      <c r="D20" s="7">
        <f>G17/C13</f>
        <v>9.2344497607655507E-2</v>
      </c>
      <c r="F20" s="4"/>
      <c r="G20" s="4"/>
      <c r="H20" s="4"/>
      <c r="I20" s="4"/>
      <c r="J20" s="4"/>
      <c r="K20" s="4"/>
    </row>
    <row r="21" spans="1:11" ht="16" x14ac:dyDescent="0.2">
      <c r="A21" t="s">
        <v>31</v>
      </c>
      <c r="D21" s="36">
        <f>G17/E23</f>
        <v>0.30781499202551832</v>
      </c>
      <c r="F21" s="4"/>
      <c r="G21" s="4"/>
      <c r="H21" s="10"/>
      <c r="I21" s="11"/>
      <c r="J21" s="11"/>
      <c r="K21" s="12"/>
    </row>
    <row r="22" spans="1:11" ht="16" x14ac:dyDescent="0.2">
      <c r="F22" s="4"/>
      <c r="G22" s="4"/>
      <c r="H22" s="13"/>
      <c r="I22" s="14" t="s">
        <v>15</v>
      </c>
      <c r="J22" s="15"/>
      <c r="K22" s="16"/>
    </row>
    <row r="23" spans="1:11" ht="16" x14ac:dyDescent="0.2">
      <c r="A23" t="s">
        <v>16</v>
      </c>
      <c r="C23" t="s">
        <v>17</v>
      </c>
      <c r="D23" s="17">
        <v>0.3</v>
      </c>
      <c r="E23">
        <f>C13*D23</f>
        <v>62700</v>
      </c>
      <c r="F23" s="4"/>
      <c r="G23" s="4"/>
      <c r="H23" s="13"/>
      <c r="I23" s="14" t="s">
        <v>18</v>
      </c>
      <c r="J23" s="5">
        <f>(D15*(10/12))</f>
        <v>19000</v>
      </c>
      <c r="K23" s="18" t="s">
        <v>10</v>
      </c>
    </row>
    <row r="24" spans="1:11" ht="16" x14ac:dyDescent="0.2">
      <c r="F24" s="4"/>
      <c r="G24" s="4"/>
      <c r="H24" s="13"/>
      <c r="I24" s="14"/>
      <c r="J24" s="5">
        <f>J23/12</f>
        <v>1583.3333333333333</v>
      </c>
      <c r="K24" s="18" t="s">
        <v>19</v>
      </c>
    </row>
    <row r="25" spans="1:11" ht="16" x14ac:dyDescent="0.2">
      <c r="F25" s="4"/>
      <c r="G25" s="4"/>
      <c r="H25" s="13"/>
      <c r="I25" s="15"/>
      <c r="J25" s="15"/>
      <c r="K25" s="16"/>
    </row>
    <row r="26" spans="1:11" ht="16" x14ac:dyDescent="0.2">
      <c r="B26" t="s">
        <v>20</v>
      </c>
      <c r="C26" s="17"/>
      <c r="D26" s="5">
        <f>C13-E23</f>
        <v>146300</v>
      </c>
      <c r="F26" s="4"/>
      <c r="H26" s="19" t="s">
        <v>20</v>
      </c>
      <c r="I26" s="20"/>
      <c r="J26" s="21">
        <f>C13*70%</f>
        <v>146300</v>
      </c>
      <c r="K26" s="16"/>
    </row>
    <row r="27" spans="1:11" ht="16" x14ac:dyDescent="0.2">
      <c r="C27" t="s">
        <v>21</v>
      </c>
      <c r="D27" s="7">
        <v>3.5000000000000003E-2</v>
      </c>
      <c r="F27" s="4"/>
      <c r="H27" s="19"/>
      <c r="I27" s="22" t="s">
        <v>21</v>
      </c>
      <c r="J27" s="23">
        <v>3.5000000000000003E-2</v>
      </c>
      <c r="K27" s="16"/>
    </row>
    <row r="28" spans="1:11" ht="16" x14ac:dyDescent="0.2">
      <c r="C28" t="s">
        <v>22</v>
      </c>
      <c r="D28">
        <v>240</v>
      </c>
      <c r="F28" s="4"/>
      <c r="H28" s="19"/>
      <c r="I28" s="22" t="s">
        <v>22</v>
      </c>
      <c r="J28" s="22">
        <v>240</v>
      </c>
      <c r="K28" s="16"/>
    </row>
    <row r="29" spans="1:11" ht="16" x14ac:dyDescent="0.2">
      <c r="D29" s="24">
        <f>PMT(D27/12,D28,D26)</f>
        <v>-848.48106740926551</v>
      </c>
      <c r="F29" s="4"/>
      <c r="H29" s="19"/>
      <c r="I29" s="22"/>
      <c r="J29" s="25">
        <f>PMT(J27/12,J28,J26)</f>
        <v>-848.48106740926551</v>
      </c>
      <c r="K29" s="16"/>
    </row>
    <row r="30" spans="1:11" ht="16" x14ac:dyDescent="0.2">
      <c r="A30" s="35" t="s">
        <v>29</v>
      </c>
      <c r="D30" s="34">
        <f>(D29*12)+G17</f>
        <v>9118.2271910888139</v>
      </c>
      <c r="F30" s="4"/>
      <c r="G30" t="s">
        <v>23</v>
      </c>
      <c r="H30" s="19"/>
      <c r="I30" s="22"/>
      <c r="J30" s="5">
        <f>(J29*12)+E17</f>
        <v>11018.227191088814</v>
      </c>
      <c r="K30" s="16"/>
    </row>
    <row r="31" spans="1:11" ht="16" x14ac:dyDescent="0.2">
      <c r="A31" s="35" t="s">
        <v>28</v>
      </c>
      <c r="D31" s="34">
        <f>D30/12</f>
        <v>759.85226592406786</v>
      </c>
      <c r="F31" s="4"/>
      <c r="G31" t="s">
        <v>24</v>
      </c>
      <c r="H31" s="19"/>
      <c r="I31" s="22"/>
      <c r="J31" s="5">
        <f>J30/12</f>
        <v>918.18559925740112</v>
      </c>
      <c r="K31" s="16"/>
    </row>
    <row r="32" spans="1:11" ht="17" thickBot="1" x14ac:dyDescent="0.25">
      <c r="F32" s="4"/>
      <c r="G32" s="4"/>
      <c r="H32" s="26"/>
      <c r="I32" s="27"/>
      <c r="J32" s="27"/>
      <c r="K32" s="28"/>
    </row>
    <row r="33" spans="1:11" ht="16" x14ac:dyDescent="0.2">
      <c r="A33" s="29"/>
      <c r="B33" s="30"/>
      <c r="C33" s="4"/>
      <c r="D33" s="4"/>
      <c r="E33" s="4"/>
      <c r="F33" s="4"/>
      <c r="G33" s="4"/>
      <c r="H33" s="4"/>
      <c r="I33" s="4"/>
      <c r="J33" s="4"/>
      <c r="K33" s="4"/>
    </row>
    <row r="38" spans="1:11" x14ac:dyDescent="0.2">
      <c r="A38" t="s">
        <v>27</v>
      </c>
    </row>
    <row r="40" spans="1:11" x14ac:dyDescent="0.2">
      <c r="A40" t="s">
        <v>25</v>
      </c>
    </row>
    <row r="43" spans="1:11" ht="16" x14ac:dyDescent="0.2">
      <c r="A43" s="1" t="s">
        <v>0</v>
      </c>
      <c r="B43" s="2"/>
      <c r="C43" s="3"/>
      <c r="F43" s="4"/>
      <c r="G43" s="4"/>
      <c r="H43" s="4"/>
      <c r="I43" s="4"/>
      <c r="J43" s="4"/>
      <c r="K43" s="4"/>
    </row>
    <row r="44" spans="1:11" ht="16" x14ac:dyDescent="0.2">
      <c r="A44" t="s">
        <v>2</v>
      </c>
      <c r="B44" s="2"/>
      <c r="C44" s="32"/>
      <c r="D44" s="2" t="s">
        <v>1</v>
      </c>
      <c r="E44" s="2"/>
      <c r="F44" s="4"/>
      <c r="G44" s="4"/>
      <c r="H44" s="4"/>
      <c r="I44" s="4"/>
      <c r="J44" s="4"/>
      <c r="K44" s="4"/>
    </row>
    <row r="45" spans="1:11" ht="16" x14ac:dyDescent="0.2">
      <c r="A45" t="s">
        <v>3</v>
      </c>
      <c r="C45" s="31">
        <f>C44*15%</f>
        <v>0</v>
      </c>
      <c r="F45" s="4"/>
      <c r="G45" s="4"/>
      <c r="H45" s="4"/>
      <c r="I45" s="4"/>
      <c r="J45" s="4"/>
      <c r="K45" s="4"/>
    </row>
    <row r="46" spans="1:11" ht="16" x14ac:dyDescent="0.2">
      <c r="F46" s="4"/>
      <c r="G46" s="4"/>
      <c r="H46" s="4"/>
      <c r="I46" s="4"/>
      <c r="J46" s="4"/>
      <c r="K46" s="4"/>
    </row>
    <row r="47" spans="1:11" ht="16" x14ac:dyDescent="0.2">
      <c r="A47" t="s">
        <v>4</v>
      </c>
      <c r="C47" s="32"/>
      <c r="F47" s="4"/>
      <c r="G47" s="4"/>
      <c r="H47" s="4"/>
      <c r="I47" s="4"/>
      <c r="J47" s="4"/>
      <c r="K47" s="4"/>
    </row>
    <row r="48" spans="1:11" ht="16" x14ac:dyDescent="0.2">
      <c r="F48" s="4"/>
      <c r="G48" s="4"/>
      <c r="H48" s="4"/>
      <c r="I48" s="4"/>
      <c r="J48" s="4"/>
      <c r="K48" s="4"/>
    </row>
    <row r="49" spans="1:11" ht="16" x14ac:dyDescent="0.2">
      <c r="A49" t="s">
        <v>5</v>
      </c>
      <c r="C49" s="5">
        <f>C47+C45+C44</f>
        <v>0</v>
      </c>
      <c r="F49" s="4"/>
      <c r="G49" s="6" t="s">
        <v>6</v>
      </c>
      <c r="H49" s="4"/>
      <c r="I49" s="4"/>
      <c r="J49" s="4"/>
      <c r="K49" s="4"/>
    </row>
    <row r="50" spans="1:11" ht="16" x14ac:dyDescent="0.2">
      <c r="F50" s="4"/>
      <c r="G50" s="4"/>
      <c r="H50" s="4"/>
      <c r="I50" s="4"/>
      <c r="J50" s="4"/>
      <c r="K50" s="4"/>
    </row>
    <row r="51" spans="1:11" ht="16" x14ac:dyDescent="0.2">
      <c r="A51" t="s">
        <v>30</v>
      </c>
      <c r="C51" s="32"/>
      <c r="D51">
        <f>C51*12</f>
        <v>0</v>
      </c>
      <c r="F51" s="4"/>
      <c r="G51" s="5">
        <f>D51*(11/12)</f>
        <v>0</v>
      </c>
      <c r="H51" s="4"/>
      <c r="I51" s="4"/>
      <c r="J51" s="4"/>
      <c r="K51" s="4"/>
    </row>
    <row r="52" spans="1:11" ht="16" x14ac:dyDescent="0.2">
      <c r="A52" t="s">
        <v>7</v>
      </c>
      <c r="D52" s="33"/>
      <c r="F52" s="4"/>
      <c r="G52" s="4"/>
      <c r="H52" s="4"/>
      <c r="I52" s="4"/>
      <c r="J52" s="4"/>
      <c r="K52" s="4"/>
    </row>
    <row r="53" spans="1:11" ht="16" x14ac:dyDescent="0.2">
      <c r="A53" t="s">
        <v>8</v>
      </c>
      <c r="C53" t="s">
        <v>9</v>
      </c>
      <c r="D53" s="33"/>
      <c r="E53" s="5">
        <f>SUM(D51:D53)</f>
        <v>0</v>
      </c>
      <c r="F53" s="6" t="s">
        <v>10</v>
      </c>
      <c r="G53" s="5">
        <f>G51+D52+D53</f>
        <v>0</v>
      </c>
      <c r="H53" s="4"/>
      <c r="I53" s="4"/>
      <c r="J53" s="4"/>
      <c r="K53" s="4"/>
    </row>
    <row r="54" spans="1:11" ht="16" x14ac:dyDescent="0.2">
      <c r="E54" s="5">
        <f>E53/12</f>
        <v>0</v>
      </c>
      <c r="F54" s="6" t="s">
        <v>11</v>
      </c>
      <c r="G54" s="4"/>
      <c r="H54" s="4"/>
      <c r="I54" s="4"/>
      <c r="J54" s="4"/>
      <c r="K54" s="4"/>
    </row>
    <row r="55" spans="1:11" ht="16" x14ac:dyDescent="0.2">
      <c r="A55" t="s">
        <v>12</v>
      </c>
      <c r="D55" s="7" t="e">
        <f>D51/C49</f>
        <v>#DIV/0!</v>
      </c>
      <c r="F55" s="4"/>
      <c r="G55" s="4"/>
      <c r="H55" s="8" t="s">
        <v>16</v>
      </c>
      <c r="I55" s="9"/>
      <c r="J55" s="9"/>
      <c r="K55" s="4"/>
    </row>
    <row r="56" spans="1:11" ht="17" thickBot="1" x14ac:dyDescent="0.25">
      <c r="A56" t="s">
        <v>13</v>
      </c>
      <c r="B56" t="s">
        <v>14</v>
      </c>
      <c r="D56" s="7" t="e">
        <f>G53/C49</f>
        <v>#DIV/0!</v>
      </c>
      <c r="F56" s="4"/>
      <c r="G56" s="4"/>
      <c r="H56" s="4"/>
      <c r="I56" s="4"/>
      <c r="J56" s="4"/>
      <c r="K56" s="4"/>
    </row>
    <row r="57" spans="1:11" ht="16" x14ac:dyDescent="0.2">
      <c r="F57" s="4"/>
      <c r="G57" s="4"/>
      <c r="H57" s="10"/>
      <c r="I57" s="11"/>
      <c r="J57" s="11"/>
      <c r="K57" s="12"/>
    </row>
    <row r="58" spans="1:11" ht="16" x14ac:dyDescent="0.2">
      <c r="F58" s="4"/>
      <c r="G58" s="4"/>
      <c r="H58" s="13"/>
      <c r="I58" s="14" t="s">
        <v>15</v>
      </c>
      <c r="J58" s="15"/>
      <c r="K58" s="16"/>
    </row>
    <row r="59" spans="1:11" ht="16" x14ac:dyDescent="0.2">
      <c r="A59" t="s">
        <v>16</v>
      </c>
      <c r="C59" t="s">
        <v>17</v>
      </c>
      <c r="D59" s="17">
        <v>0.3</v>
      </c>
      <c r="E59">
        <f>C49*D59</f>
        <v>0</v>
      </c>
      <c r="F59" s="4"/>
      <c r="G59" s="4"/>
      <c r="H59" s="13"/>
      <c r="I59" s="14" t="s">
        <v>18</v>
      </c>
      <c r="J59" s="5">
        <f>(D51*(10/12))</f>
        <v>0</v>
      </c>
      <c r="K59" s="18" t="s">
        <v>10</v>
      </c>
    </row>
    <row r="60" spans="1:11" ht="16" x14ac:dyDescent="0.2">
      <c r="F60" s="4"/>
      <c r="G60" s="4"/>
      <c r="H60" s="13"/>
      <c r="I60" s="14"/>
      <c r="J60" s="5">
        <f>J59/12</f>
        <v>0</v>
      </c>
      <c r="K60" s="18" t="s">
        <v>19</v>
      </c>
    </row>
    <row r="61" spans="1:11" ht="16" x14ac:dyDescent="0.2">
      <c r="F61" s="4"/>
      <c r="G61" s="4"/>
      <c r="H61" s="13"/>
      <c r="I61" s="15"/>
      <c r="J61" s="15"/>
      <c r="K61" s="16"/>
    </row>
    <row r="62" spans="1:11" ht="16" x14ac:dyDescent="0.2">
      <c r="B62" t="s">
        <v>20</v>
      </c>
      <c r="C62" s="17"/>
      <c r="D62" s="5">
        <f>C49-E59</f>
        <v>0</v>
      </c>
      <c r="F62" s="4"/>
      <c r="H62" s="19" t="s">
        <v>20</v>
      </c>
      <c r="I62" s="20"/>
      <c r="J62" s="21">
        <f>C49*70%</f>
        <v>0</v>
      </c>
      <c r="K62" s="16"/>
    </row>
    <row r="63" spans="1:11" ht="16" x14ac:dyDescent="0.2">
      <c r="C63" t="s">
        <v>21</v>
      </c>
      <c r="D63" s="7">
        <v>3.5000000000000003E-2</v>
      </c>
      <c r="F63" s="4"/>
      <c r="H63" s="19"/>
      <c r="I63" s="22" t="s">
        <v>21</v>
      </c>
      <c r="J63" s="23">
        <v>3.5000000000000003E-2</v>
      </c>
      <c r="K63" s="16"/>
    </row>
    <row r="64" spans="1:11" ht="16" x14ac:dyDescent="0.2">
      <c r="C64" t="s">
        <v>22</v>
      </c>
      <c r="D64">
        <v>240</v>
      </c>
      <c r="F64" s="4"/>
      <c r="H64" s="19"/>
      <c r="I64" s="22" t="s">
        <v>22</v>
      </c>
      <c r="J64" s="22">
        <v>240</v>
      </c>
      <c r="K64" s="16"/>
    </row>
    <row r="65" spans="1:11" ht="16" x14ac:dyDescent="0.2">
      <c r="D65" s="24">
        <f>PMT(D63/12,D64,D62)</f>
        <v>0</v>
      </c>
      <c r="F65" s="4"/>
      <c r="H65" s="19"/>
      <c r="I65" s="22"/>
      <c r="J65" s="25">
        <f>PMT(J63/12,J64,J62)</f>
        <v>0</v>
      </c>
      <c r="K65" s="16"/>
    </row>
    <row r="66" spans="1:11" ht="16" x14ac:dyDescent="0.2">
      <c r="A66" s="35" t="s">
        <v>29</v>
      </c>
      <c r="D66" s="34">
        <f>(D65*12)+G53</f>
        <v>0</v>
      </c>
      <c r="F66" s="4"/>
      <c r="G66" t="s">
        <v>23</v>
      </c>
      <c r="H66" s="19"/>
      <c r="I66" s="22"/>
      <c r="J66" s="5">
        <f>(J65*12)+E53</f>
        <v>0</v>
      </c>
      <c r="K66" s="16"/>
    </row>
    <row r="67" spans="1:11" ht="16" x14ac:dyDescent="0.2">
      <c r="A67" s="35" t="s">
        <v>28</v>
      </c>
      <c r="D67" s="34">
        <f>D66/12</f>
        <v>0</v>
      </c>
      <c r="F67" s="4"/>
      <c r="G67" t="s">
        <v>24</v>
      </c>
      <c r="H67" s="19"/>
      <c r="I67" s="22"/>
      <c r="J67" s="5">
        <f>J66/12</f>
        <v>0</v>
      </c>
      <c r="K67" s="16"/>
    </row>
    <row r="68" spans="1:11" ht="17" thickBot="1" x14ac:dyDescent="0.25">
      <c r="F68" s="4"/>
      <c r="G68" s="4"/>
      <c r="H68" s="26"/>
      <c r="I68" s="27"/>
      <c r="J68" s="27"/>
      <c r="K68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8"/>
  <sheetViews>
    <sheetView workbookViewId="0">
      <selection activeCell="C9" sqref="C9"/>
    </sheetView>
  </sheetViews>
  <sheetFormatPr baseColWidth="10" defaultRowHeight="15" x14ac:dyDescent="0.2"/>
  <cols>
    <col min="1" max="1" width="32.33203125" customWidth="1"/>
    <col min="2" max="2" width="34.1640625" customWidth="1"/>
    <col min="3" max="3" width="25.5" customWidth="1"/>
    <col min="4" max="4" width="19.83203125" customWidth="1"/>
    <col min="5" max="5" width="21" customWidth="1"/>
    <col min="6" max="6" width="25" customWidth="1"/>
    <col min="7" max="7" width="21" customWidth="1"/>
    <col min="8" max="8" width="18" customWidth="1"/>
    <col min="9" max="9" width="24.6640625" customWidth="1"/>
    <col min="10" max="10" width="22.83203125" customWidth="1"/>
  </cols>
  <sheetData>
    <row r="2" spans="1:11" x14ac:dyDescent="0.2">
      <c r="A2" t="s">
        <v>27</v>
      </c>
    </row>
    <row r="4" spans="1:11" x14ac:dyDescent="0.2">
      <c r="A4" t="s">
        <v>25</v>
      </c>
      <c r="B4" t="s">
        <v>26</v>
      </c>
    </row>
    <row r="7" spans="1:11" ht="16" x14ac:dyDescent="0.2">
      <c r="A7" s="1" t="s">
        <v>0</v>
      </c>
      <c r="B7" s="2"/>
      <c r="C7" s="3"/>
      <c r="F7" s="4"/>
      <c r="G7" s="4"/>
      <c r="H7" s="4"/>
      <c r="I7" s="4"/>
      <c r="J7" s="4"/>
      <c r="K7" s="4"/>
    </row>
    <row r="8" spans="1:11" ht="16" x14ac:dyDescent="0.2">
      <c r="A8" t="s">
        <v>2</v>
      </c>
      <c r="B8" s="2"/>
      <c r="C8" s="32">
        <v>129000</v>
      </c>
      <c r="D8" s="2" t="s">
        <v>1</v>
      </c>
      <c r="E8" s="2"/>
      <c r="F8" s="4"/>
      <c r="G8" s="4"/>
      <c r="H8" s="4"/>
      <c r="I8" s="4"/>
      <c r="J8" s="4"/>
      <c r="K8" s="4"/>
    </row>
    <row r="9" spans="1:11" ht="16" x14ac:dyDescent="0.2">
      <c r="A9" t="s">
        <v>3</v>
      </c>
      <c r="C9" s="31">
        <f>C8*15%</f>
        <v>19350</v>
      </c>
      <c r="F9" s="4"/>
      <c r="G9" s="4"/>
      <c r="H9" s="4"/>
      <c r="I9" s="4"/>
      <c r="J9" s="4"/>
      <c r="K9" s="4"/>
    </row>
    <row r="10" spans="1:11" ht="16" x14ac:dyDescent="0.2">
      <c r="F10" s="4"/>
      <c r="G10" s="4"/>
      <c r="H10" s="4"/>
      <c r="I10" s="4"/>
      <c r="J10" s="4"/>
      <c r="K10" s="4"/>
    </row>
    <row r="11" spans="1:11" ht="16" x14ac:dyDescent="0.2">
      <c r="A11" t="s">
        <v>4</v>
      </c>
      <c r="C11" s="32">
        <v>50000</v>
      </c>
      <c r="F11" s="4"/>
      <c r="G11" s="4"/>
      <c r="H11" s="4"/>
      <c r="I11" s="4"/>
      <c r="J11" s="4"/>
      <c r="K11" s="4"/>
    </row>
    <row r="12" spans="1:11" ht="16" x14ac:dyDescent="0.2">
      <c r="F12" s="4"/>
      <c r="G12" s="4"/>
      <c r="H12" s="4"/>
      <c r="I12" s="4"/>
      <c r="J12" s="4"/>
      <c r="K12" s="4"/>
    </row>
    <row r="13" spans="1:11" ht="16" x14ac:dyDescent="0.2">
      <c r="A13" t="s">
        <v>5</v>
      </c>
      <c r="C13" s="5">
        <f>C11+C9+C8</f>
        <v>198350</v>
      </c>
      <c r="F13" s="4"/>
      <c r="G13" s="6" t="s">
        <v>6</v>
      </c>
      <c r="H13" s="4"/>
      <c r="I13" s="4"/>
      <c r="J13" s="4"/>
      <c r="K13" s="4"/>
    </row>
    <row r="14" spans="1:11" ht="16" x14ac:dyDescent="0.2">
      <c r="F14" s="4"/>
      <c r="G14" s="4"/>
      <c r="H14" s="4"/>
      <c r="I14" s="4"/>
      <c r="J14" s="4"/>
      <c r="K14" s="4"/>
    </row>
    <row r="15" spans="1:11" ht="16" x14ac:dyDescent="0.2">
      <c r="A15" t="s">
        <v>30</v>
      </c>
      <c r="C15" s="32">
        <v>1950</v>
      </c>
      <c r="D15">
        <f>C15*12</f>
        <v>23400</v>
      </c>
      <c r="F15" s="4"/>
      <c r="G15" s="5">
        <f>D15*(11/12)</f>
        <v>21450</v>
      </c>
      <c r="H15" s="4"/>
      <c r="I15" s="4"/>
      <c r="J15" s="4"/>
      <c r="K15" s="4"/>
    </row>
    <row r="16" spans="1:11" ht="16" x14ac:dyDescent="0.2">
      <c r="A16" t="s">
        <v>7</v>
      </c>
      <c r="D16" s="33">
        <v>-850</v>
      </c>
      <c r="F16" s="4"/>
      <c r="G16" s="4"/>
      <c r="H16" s="4"/>
      <c r="I16" s="4"/>
      <c r="J16" s="4"/>
      <c r="K16" s="4"/>
    </row>
    <row r="17" spans="1:11" ht="16" x14ac:dyDescent="0.2">
      <c r="A17" t="s">
        <v>8</v>
      </c>
      <c r="C17" t="s">
        <v>9</v>
      </c>
      <c r="D17" s="33">
        <v>-1100</v>
      </c>
      <c r="E17" s="5">
        <f>SUM(D15:D17)</f>
        <v>21450</v>
      </c>
      <c r="F17" s="6" t="s">
        <v>10</v>
      </c>
      <c r="G17" s="5">
        <f>G15+D16+D17</f>
        <v>19500</v>
      </c>
      <c r="H17" s="4"/>
      <c r="I17" s="4"/>
      <c r="J17" s="4"/>
      <c r="K17" s="4"/>
    </row>
    <row r="18" spans="1:11" ht="16" x14ac:dyDescent="0.2">
      <c r="E18" s="5">
        <f>E17/12</f>
        <v>1787.5</v>
      </c>
      <c r="F18" s="6" t="s">
        <v>11</v>
      </c>
      <c r="G18" s="4"/>
      <c r="H18" s="4"/>
      <c r="I18" s="4"/>
      <c r="J18" s="4"/>
      <c r="K18" s="4"/>
    </row>
    <row r="19" spans="1:11" ht="16" x14ac:dyDescent="0.2">
      <c r="A19" t="s">
        <v>12</v>
      </c>
      <c r="D19" s="7">
        <f>D15/C13</f>
        <v>0.11797327955633981</v>
      </c>
      <c r="F19" s="4"/>
      <c r="G19" s="4"/>
      <c r="H19" s="8" t="s">
        <v>16</v>
      </c>
      <c r="I19" s="9"/>
      <c r="J19" s="9"/>
      <c r="K19" s="4"/>
    </row>
    <row r="20" spans="1:11" ht="17" thickBot="1" x14ac:dyDescent="0.25">
      <c r="A20" t="s">
        <v>13</v>
      </c>
      <c r="B20" t="s">
        <v>14</v>
      </c>
      <c r="D20" s="7">
        <f>G17/C13</f>
        <v>9.8311066296949842E-2</v>
      </c>
      <c r="F20" s="4"/>
      <c r="G20" s="4"/>
      <c r="H20" s="4"/>
      <c r="I20" s="4"/>
      <c r="J20" s="4"/>
      <c r="K20" s="4"/>
    </row>
    <row r="21" spans="1:11" ht="16" x14ac:dyDescent="0.2">
      <c r="F21" s="4"/>
      <c r="G21" s="4"/>
      <c r="H21" s="10"/>
      <c r="I21" s="11"/>
      <c r="J21" s="11"/>
      <c r="K21" s="12"/>
    </row>
    <row r="22" spans="1:11" ht="16" x14ac:dyDescent="0.2">
      <c r="F22" s="4"/>
      <c r="G22" s="4"/>
      <c r="H22" s="13"/>
      <c r="I22" s="14" t="s">
        <v>15</v>
      </c>
      <c r="J22" s="15"/>
      <c r="K22" s="16"/>
    </row>
    <row r="23" spans="1:11" ht="16" x14ac:dyDescent="0.2">
      <c r="A23" t="s">
        <v>16</v>
      </c>
      <c r="C23" t="s">
        <v>17</v>
      </c>
      <c r="D23" s="17">
        <v>0.3</v>
      </c>
      <c r="E23">
        <f>C13*D23</f>
        <v>59505</v>
      </c>
      <c r="F23" s="4"/>
      <c r="G23" s="4"/>
      <c r="H23" s="13"/>
      <c r="I23" s="14" t="s">
        <v>18</v>
      </c>
      <c r="J23" s="5">
        <f>(D15*(10/12))</f>
        <v>19500</v>
      </c>
      <c r="K23" s="18" t="s">
        <v>10</v>
      </c>
    </row>
    <row r="24" spans="1:11" ht="16" x14ac:dyDescent="0.2">
      <c r="F24" s="4"/>
      <c r="G24" s="4"/>
      <c r="H24" s="13"/>
      <c r="I24" s="14"/>
      <c r="J24" s="5">
        <f>J23/12</f>
        <v>1625</v>
      </c>
      <c r="K24" s="18" t="s">
        <v>19</v>
      </c>
    </row>
    <row r="25" spans="1:11" ht="16" x14ac:dyDescent="0.2">
      <c r="F25" s="4"/>
      <c r="G25" s="4"/>
      <c r="H25" s="13"/>
      <c r="I25" s="15"/>
      <c r="J25" s="15"/>
      <c r="K25" s="16"/>
    </row>
    <row r="26" spans="1:11" ht="16" x14ac:dyDescent="0.2">
      <c r="B26" t="s">
        <v>20</v>
      </c>
      <c r="C26" s="17"/>
      <c r="D26" s="5">
        <f>C13-E23</f>
        <v>138845</v>
      </c>
      <c r="F26" s="4"/>
      <c r="H26" s="19" t="s">
        <v>20</v>
      </c>
      <c r="I26" s="20"/>
      <c r="J26" s="21">
        <f>C13*70%</f>
        <v>138845</v>
      </c>
      <c r="K26" s="16"/>
    </row>
    <row r="27" spans="1:11" ht="16" x14ac:dyDescent="0.2">
      <c r="C27" t="s">
        <v>21</v>
      </c>
      <c r="D27" s="7">
        <v>3.5000000000000003E-2</v>
      </c>
      <c r="F27" s="4"/>
      <c r="H27" s="19"/>
      <c r="I27" s="22" t="s">
        <v>21</v>
      </c>
      <c r="J27" s="23">
        <v>3.5000000000000003E-2</v>
      </c>
      <c r="K27" s="16"/>
    </row>
    <row r="28" spans="1:11" ht="16" x14ac:dyDescent="0.2">
      <c r="C28" t="s">
        <v>22</v>
      </c>
      <c r="D28">
        <v>240</v>
      </c>
      <c r="F28" s="4"/>
      <c r="H28" s="19"/>
      <c r="I28" s="22" t="s">
        <v>22</v>
      </c>
      <c r="J28" s="22">
        <v>240</v>
      </c>
      <c r="K28" s="16"/>
    </row>
    <row r="29" spans="1:11" ht="16" x14ac:dyDescent="0.2">
      <c r="D29" s="24">
        <f>PMT(D27/12,D28,D26)</f>
        <v>-805.24507043362587</v>
      </c>
      <c r="F29" s="4"/>
      <c r="H29" s="19"/>
      <c r="I29" s="22"/>
      <c r="J29" s="25">
        <f>PMT(J27/12,J28,J26)</f>
        <v>-805.24507043362587</v>
      </c>
      <c r="K29" s="16"/>
    </row>
    <row r="30" spans="1:11" ht="16" x14ac:dyDescent="0.2">
      <c r="A30" s="35" t="s">
        <v>29</v>
      </c>
      <c r="D30" s="34">
        <f>(D29*12)+G17</f>
        <v>9837.0591547964905</v>
      </c>
      <c r="F30" s="4"/>
      <c r="G30" t="s">
        <v>23</v>
      </c>
      <c r="H30" s="19"/>
      <c r="I30" s="22"/>
      <c r="J30" s="5">
        <f>(J29*12)+E17</f>
        <v>11787.05915479649</v>
      </c>
      <c r="K30" s="16"/>
    </row>
    <row r="31" spans="1:11" ht="16" x14ac:dyDescent="0.2">
      <c r="A31" s="35" t="s">
        <v>28</v>
      </c>
      <c r="D31" s="34">
        <f>D30/12</f>
        <v>819.75492956637424</v>
      </c>
      <c r="F31" s="4"/>
      <c r="G31" t="s">
        <v>24</v>
      </c>
      <c r="H31" s="19"/>
      <c r="I31" s="22"/>
      <c r="J31" s="5">
        <f>J30/12</f>
        <v>982.25492956637424</v>
      </c>
      <c r="K31" s="16"/>
    </row>
    <row r="32" spans="1:11" ht="17" thickBot="1" x14ac:dyDescent="0.25">
      <c r="F32" s="4"/>
      <c r="G32" s="4"/>
      <c r="H32" s="26"/>
      <c r="I32" s="27"/>
      <c r="J32" s="27"/>
      <c r="K32" s="28"/>
    </row>
    <row r="33" spans="1:11" ht="16" x14ac:dyDescent="0.2">
      <c r="A33" s="29"/>
      <c r="B33" s="30"/>
      <c r="C33" s="4"/>
      <c r="D33" s="4"/>
      <c r="E33" s="4"/>
      <c r="F33" s="4"/>
      <c r="G33" s="4"/>
      <c r="H33" s="4"/>
      <c r="I33" s="4"/>
      <c r="J33" s="4"/>
      <c r="K33" s="4"/>
    </row>
    <row r="38" spans="1:11" x14ac:dyDescent="0.2">
      <c r="A38" t="s">
        <v>27</v>
      </c>
    </row>
    <row r="40" spans="1:11" x14ac:dyDescent="0.2">
      <c r="A40" t="s">
        <v>25</v>
      </c>
    </row>
    <row r="43" spans="1:11" ht="16" x14ac:dyDescent="0.2">
      <c r="A43" s="1" t="s">
        <v>0</v>
      </c>
      <c r="B43" s="2"/>
      <c r="C43" s="3"/>
      <c r="F43" s="4"/>
      <c r="G43" s="4"/>
      <c r="H43" s="4"/>
      <c r="I43" s="4"/>
      <c r="J43" s="4"/>
      <c r="K43" s="4"/>
    </row>
    <row r="44" spans="1:11" ht="16" x14ac:dyDescent="0.2">
      <c r="A44" t="s">
        <v>2</v>
      </c>
      <c r="B44" s="2"/>
      <c r="C44" s="32"/>
      <c r="D44" s="2" t="s">
        <v>1</v>
      </c>
      <c r="E44" s="2"/>
      <c r="F44" s="4"/>
      <c r="G44" s="4"/>
      <c r="H44" s="4"/>
      <c r="I44" s="4"/>
      <c r="J44" s="4"/>
      <c r="K44" s="4"/>
    </row>
    <row r="45" spans="1:11" ht="16" x14ac:dyDescent="0.2">
      <c r="A45" t="s">
        <v>3</v>
      </c>
      <c r="C45" s="31">
        <f>C44*15%</f>
        <v>0</v>
      </c>
      <c r="F45" s="4"/>
      <c r="G45" s="4"/>
      <c r="H45" s="4"/>
      <c r="I45" s="4"/>
      <c r="J45" s="4"/>
      <c r="K45" s="4"/>
    </row>
    <row r="46" spans="1:11" ht="16" x14ac:dyDescent="0.2">
      <c r="F46" s="4"/>
      <c r="G46" s="4"/>
      <c r="H46" s="4"/>
      <c r="I46" s="4"/>
      <c r="J46" s="4"/>
      <c r="K46" s="4"/>
    </row>
    <row r="47" spans="1:11" ht="16" x14ac:dyDescent="0.2">
      <c r="A47" t="s">
        <v>4</v>
      </c>
      <c r="C47" s="32"/>
      <c r="F47" s="4"/>
      <c r="G47" s="4"/>
      <c r="H47" s="4"/>
      <c r="I47" s="4"/>
      <c r="J47" s="4"/>
      <c r="K47" s="4"/>
    </row>
    <row r="48" spans="1:11" ht="16" x14ac:dyDescent="0.2">
      <c r="F48" s="4"/>
      <c r="G48" s="4"/>
      <c r="H48" s="4"/>
      <c r="I48" s="4"/>
      <c r="J48" s="4"/>
      <c r="K48" s="4"/>
    </row>
    <row r="49" spans="1:11" ht="16" x14ac:dyDescent="0.2">
      <c r="A49" t="s">
        <v>5</v>
      </c>
      <c r="C49" s="5">
        <f>C47+C45+C44</f>
        <v>0</v>
      </c>
      <c r="F49" s="4"/>
      <c r="G49" s="6" t="s">
        <v>6</v>
      </c>
      <c r="H49" s="4"/>
      <c r="I49" s="4"/>
      <c r="J49" s="4"/>
      <c r="K49" s="4"/>
    </row>
    <row r="50" spans="1:11" ht="16" x14ac:dyDescent="0.2">
      <c r="F50" s="4"/>
      <c r="G50" s="4"/>
      <c r="H50" s="4"/>
      <c r="I50" s="4"/>
      <c r="J50" s="4"/>
      <c r="K50" s="4"/>
    </row>
    <row r="51" spans="1:11" ht="16" x14ac:dyDescent="0.2">
      <c r="A51" t="s">
        <v>30</v>
      </c>
      <c r="C51" s="32"/>
      <c r="D51">
        <f>C51*12</f>
        <v>0</v>
      </c>
      <c r="F51" s="4"/>
      <c r="G51" s="5">
        <f>D51*(11/12)</f>
        <v>0</v>
      </c>
      <c r="H51" s="4"/>
      <c r="I51" s="4"/>
      <c r="J51" s="4"/>
      <c r="K51" s="4"/>
    </row>
    <row r="52" spans="1:11" ht="16" x14ac:dyDescent="0.2">
      <c r="A52" t="s">
        <v>7</v>
      </c>
      <c r="D52" s="33"/>
      <c r="F52" s="4"/>
      <c r="G52" s="4"/>
      <c r="H52" s="4"/>
      <c r="I52" s="4"/>
      <c r="J52" s="4"/>
      <c r="K52" s="4"/>
    </row>
    <row r="53" spans="1:11" ht="16" x14ac:dyDescent="0.2">
      <c r="A53" t="s">
        <v>8</v>
      </c>
      <c r="C53" t="s">
        <v>9</v>
      </c>
      <c r="D53" s="33"/>
      <c r="E53" s="5">
        <f>SUM(D51:D53)</f>
        <v>0</v>
      </c>
      <c r="F53" s="6" t="s">
        <v>10</v>
      </c>
      <c r="G53" s="5">
        <f>G51+D52+D53</f>
        <v>0</v>
      </c>
      <c r="H53" s="4"/>
      <c r="I53" s="4"/>
      <c r="J53" s="4"/>
      <c r="K53" s="4"/>
    </row>
    <row r="54" spans="1:11" ht="16" x14ac:dyDescent="0.2">
      <c r="E54" s="5">
        <f>E53/12</f>
        <v>0</v>
      </c>
      <c r="F54" s="6" t="s">
        <v>11</v>
      </c>
      <c r="G54" s="4"/>
      <c r="H54" s="4"/>
      <c r="I54" s="4"/>
      <c r="J54" s="4"/>
      <c r="K54" s="4"/>
    </row>
    <row r="55" spans="1:11" ht="16" x14ac:dyDescent="0.2">
      <c r="A55" t="s">
        <v>12</v>
      </c>
      <c r="D55" s="7" t="e">
        <f>D51/C49</f>
        <v>#DIV/0!</v>
      </c>
      <c r="F55" s="4"/>
      <c r="G55" s="4"/>
      <c r="H55" s="8" t="s">
        <v>16</v>
      </c>
      <c r="I55" s="9"/>
      <c r="J55" s="9"/>
      <c r="K55" s="4"/>
    </row>
    <row r="56" spans="1:11" ht="17" thickBot="1" x14ac:dyDescent="0.25">
      <c r="A56" t="s">
        <v>13</v>
      </c>
      <c r="B56" t="s">
        <v>14</v>
      </c>
      <c r="D56" s="7" t="e">
        <f>G53/C49</f>
        <v>#DIV/0!</v>
      </c>
      <c r="F56" s="4"/>
      <c r="G56" s="4"/>
      <c r="H56" s="4"/>
      <c r="I56" s="4"/>
      <c r="J56" s="4"/>
      <c r="K56" s="4"/>
    </row>
    <row r="57" spans="1:11" ht="16" x14ac:dyDescent="0.2">
      <c r="F57" s="4"/>
      <c r="G57" s="4"/>
      <c r="H57" s="10"/>
      <c r="I57" s="11"/>
      <c r="J57" s="11"/>
      <c r="K57" s="12"/>
    </row>
    <row r="58" spans="1:11" ht="16" x14ac:dyDescent="0.2">
      <c r="F58" s="4"/>
      <c r="G58" s="4"/>
      <c r="H58" s="13"/>
      <c r="I58" s="14" t="s">
        <v>15</v>
      </c>
      <c r="J58" s="15"/>
      <c r="K58" s="16"/>
    </row>
    <row r="59" spans="1:11" ht="16" x14ac:dyDescent="0.2">
      <c r="A59" t="s">
        <v>16</v>
      </c>
      <c r="C59" t="s">
        <v>17</v>
      </c>
      <c r="D59" s="17">
        <v>0.3</v>
      </c>
      <c r="E59">
        <f>C49*D59</f>
        <v>0</v>
      </c>
      <c r="F59" s="4"/>
      <c r="G59" s="4"/>
      <c r="H59" s="13"/>
      <c r="I59" s="14" t="s">
        <v>18</v>
      </c>
      <c r="J59" s="5">
        <f>(D51*(10/12))</f>
        <v>0</v>
      </c>
      <c r="K59" s="18" t="s">
        <v>10</v>
      </c>
    </row>
    <row r="60" spans="1:11" ht="16" x14ac:dyDescent="0.2">
      <c r="F60" s="4"/>
      <c r="G60" s="4"/>
      <c r="H60" s="13"/>
      <c r="I60" s="14"/>
      <c r="J60" s="5">
        <f>J59/12</f>
        <v>0</v>
      </c>
      <c r="K60" s="18" t="s">
        <v>19</v>
      </c>
    </row>
    <row r="61" spans="1:11" ht="16" x14ac:dyDescent="0.2">
      <c r="F61" s="4"/>
      <c r="G61" s="4"/>
      <c r="H61" s="13"/>
      <c r="I61" s="15"/>
      <c r="J61" s="15"/>
      <c r="K61" s="16"/>
    </row>
    <row r="62" spans="1:11" ht="16" x14ac:dyDescent="0.2">
      <c r="B62" t="s">
        <v>20</v>
      </c>
      <c r="C62" s="17"/>
      <c r="D62" s="5">
        <f>C49-E59</f>
        <v>0</v>
      </c>
      <c r="F62" s="4"/>
      <c r="H62" s="19" t="s">
        <v>20</v>
      </c>
      <c r="I62" s="20"/>
      <c r="J62" s="21">
        <f>C49*70%</f>
        <v>0</v>
      </c>
      <c r="K62" s="16"/>
    </row>
    <row r="63" spans="1:11" ht="16" x14ac:dyDescent="0.2">
      <c r="C63" t="s">
        <v>21</v>
      </c>
      <c r="D63" s="7">
        <v>3.5000000000000003E-2</v>
      </c>
      <c r="F63" s="4"/>
      <c r="H63" s="19"/>
      <c r="I63" s="22" t="s">
        <v>21</v>
      </c>
      <c r="J63" s="23">
        <v>3.5000000000000003E-2</v>
      </c>
      <c r="K63" s="16"/>
    </row>
    <row r="64" spans="1:11" ht="16" x14ac:dyDescent="0.2">
      <c r="C64" t="s">
        <v>22</v>
      </c>
      <c r="D64">
        <v>240</v>
      </c>
      <c r="F64" s="4"/>
      <c r="H64" s="19"/>
      <c r="I64" s="22" t="s">
        <v>22</v>
      </c>
      <c r="J64" s="22">
        <v>240</v>
      </c>
      <c r="K64" s="16"/>
    </row>
    <row r="65" spans="1:11" ht="16" x14ac:dyDescent="0.2">
      <c r="D65" s="24">
        <f>PMT(D63/12,D64,D62)</f>
        <v>0</v>
      </c>
      <c r="F65" s="4"/>
      <c r="H65" s="19"/>
      <c r="I65" s="22"/>
      <c r="J65" s="25">
        <f>PMT(J63/12,J64,J62)</f>
        <v>0</v>
      </c>
      <c r="K65" s="16"/>
    </row>
    <row r="66" spans="1:11" ht="16" x14ac:dyDescent="0.2">
      <c r="A66" s="35" t="s">
        <v>29</v>
      </c>
      <c r="D66" s="34">
        <f>(D65*12)+G53</f>
        <v>0</v>
      </c>
      <c r="F66" s="4"/>
      <c r="G66" t="s">
        <v>23</v>
      </c>
      <c r="H66" s="19"/>
      <c r="I66" s="22"/>
      <c r="J66" s="5">
        <f>(J65*12)+E53</f>
        <v>0</v>
      </c>
      <c r="K66" s="16"/>
    </row>
    <row r="67" spans="1:11" ht="16" x14ac:dyDescent="0.2">
      <c r="A67" s="35" t="s">
        <v>28</v>
      </c>
      <c r="D67" s="34">
        <f>D66/12</f>
        <v>0</v>
      </c>
      <c r="F67" s="4"/>
      <c r="G67" t="s">
        <v>24</v>
      </c>
      <c r="H67" s="19"/>
      <c r="I67" s="22"/>
      <c r="J67" s="5">
        <f>J66/12</f>
        <v>0</v>
      </c>
      <c r="K67" s="16"/>
    </row>
    <row r="68" spans="1:11" ht="17" thickBot="1" x14ac:dyDescent="0.25">
      <c r="F68" s="4"/>
      <c r="G68" s="4"/>
      <c r="H68" s="26"/>
      <c r="I68" s="27"/>
      <c r="J68" s="27"/>
      <c r="K68" s="2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 (2)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SEBASTIEN</dc:creator>
  <cp:lastModifiedBy>Jonathann Mingoia</cp:lastModifiedBy>
  <dcterms:created xsi:type="dcterms:W3CDTF">2025-12-15T08:57:23Z</dcterms:created>
  <dcterms:modified xsi:type="dcterms:W3CDTF">2025-12-16T10:00:24Z</dcterms:modified>
</cp:coreProperties>
</file>